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1315" windowHeight="9780"/>
  </bookViews>
  <sheets>
    <sheet name="Hoja1" sheetId="1" r:id="rId1"/>
    <sheet name="Hoja2" sheetId="2" r:id="rId2"/>
    <sheet name="Hoja3" sheetId="3" r:id="rId3"/>
  </sheets>
  <calcPr calcId="125725"/>
</workbook>
</file>

<file path=xl/calcChain.xml><?xml version="1.0" encoding="utf-8"?>
<calcChain xmlns="http://schemas.openxmlformats.org/spreadsheetml/2006/main">
  <c r="D16" i="1"/>
  <c r="E16" s="1"/>
  <c r="F16" s="1"/>
  <c r="G16" s="1"/>
  <c r="H16" s="1"/>
  <c r="I16" s="1"/>
  <c r="J16" s="1"/>
  <c r="K16" s="1"/>
  <c r="L16" s="1"/>
  <c r="M16" s="1"/>
  <c r="N16" s="1"/>
  <c r="O16" s="1"/>
  <c r="P16" s="1"/>
  <c r="Q16" s="1"/>
  <c r="R16" s="1"/>
  <c r="S16" s="1"/>
  <c r="T16" s="1"/>
  <c r="U16" s="1"/>
  <c r="V16" s="1"/>
  <c r="W16" s="1"/>
  <c r="W17" s="1"/>
  <c r="L17" l="1"/>
  <c r="P17"/>
  <c r="T17"/>
  <c r="D17"/>
  <c r="H17"/>
  <c r="U17"/>
  <c r="Q17"/>
  <c r="M17"/>
  <c r="I17"/>
  <c r="E17"/>
  <c r="V17"/>
  <c r="R17"/>
  <c r="N17"/>
  <c r="J17"/>
  <c r="F17"/>
  <c r="S17"/>
  <c r="O17"/>
  <c r="K17"/>
  <c r="G17"/>
  <c r="E14" l="1"/>
  <c r="F14" s="1"/>
  <c r="D14"/>
  <c r="D15" s="1"/>
  <c r="F15" l="1"/>
  <c r="F20" s="1"/>
  <c r="F21" s="1"/>
  <c r="F22" s="1"/>
  <c r="G14"/>
  <c r="H14" s="1"/>
  <c r="I14" s="1"/>
  <c r="J14" s="1"/>
  <c r="K14" s="1"/>
  <c r="L14" s="1"/>
  <c r="M14" s="1"/>
  <c r="N14" s="1"/>
  <c r="O14" s="1"/>
  <c r="P14" s="1"/>
  <c r="Q14" s="1"/>
  <c r="R14" s="1"/>
  <c r="S14" s="1"/>
  <c r="T14" s="1"/>
  <c r="U14" s="1"/>
  <c r="V14" s="1"/>
  <c r="W14" s="1"/>
  <c r="W15" s="1"/>
  <c r="W18" s="1"/>
  <c r="D20"/>
  <c r="D21" s="1"/>
  <c r="D22" s="1"/>
  <c r="D18"/>
  <c r="E15"/>
  <c r="E20" s="1"/>
  <c r="E21" s="1"/>
  <c r="E22" s="1"/>
  <c r="E18"/>
  <c r="K15"/>
  <c r="L15" l="1"/>
  <c r="M15"/>
  <c r="M20" s="1"/>
  <c r="M21" s="1"/>
  <c r="M22" s="1"/>
  <c r="W20"/>
  <c r="W21" s="1"/>
  <c r="W22" s="1"/>
  <c r="F18"/>
  <c r="N15"/>
  <c r="N20" s="1"/>
  <c r="N21" s="1"/>
  <c r="N22" s="1"/>
  <c r="G15"/>
  <c r="G18" s="1"/>
  <c r="J15"/>
  <c r="J20" s="1"/>
  <c r="J21" s="1"/>
  <c r="J22" s="1"/>
  <c r="I15"/>
  <c r="H15"/>
  <c r="H20" s="1"/>
  <c r="H21" s="1"/>
  <c r="H22" s="1"/>
  <c r="O15"/>
  <c r="O18" s="1"/>
  <c r="R15"/>
  <c r="R20" s="1"/>
  <c r="R21" s="1"/>
  <c r="R22" s="1"/>
  <c r="Q15"/>
  <c r="P15"/>
  <c r="P20" s="1"/>
  <c r="P21" s="1"/>
  <c r="P22" s="1"/>
  <c r="S15"/>
  <c r="S18" s="1"/>
  <c r="V15"/>
  <c r="V20" s="1"/>
  <c r="V21" s="1"/>
  <c r="V22" s="1"/>
  <c r="U15"/>
  <c r="T15"/>
  <c r="T20" s="1"/>
  <c r="T21" s="1"/>
  <c r="T22" s="1"/>
  <c r="K20"/>
  <c r="K21" s="1"/>
  <c r="K22" s="1"/>
  <c r="K18"/>
  <c r="N18"/>
  <c r="M18"/>
  <c r="L20"/>
  <c r="L21" s="1"/>
  <c r="L22" s="1"/>
  <c r="L18"/>
  <c r="J18"/>
  <c r="I20"/>
  <c r="I21" s="1"/>
  <c r="I22" s="1"/>
  <c r="I18"/>
  <c r="U20"/>
  <c r="U21" s="1"/>
  <c r="U22" s="1"/>
  <c r="U18"/>
  <c r="Q20"/>
  <c r="Q21" s="1"/>
  <c r="Q22" s="1"/>
  <c r="Q18"/>
  <c r="V18" l="1"/>
  <c r="G20"/>
  <c r="G21" s="1"/>
  <c r="G22" s="1"/>
  <c r="R18"/>
  <c r="H18"/>
  <c r="P18"/>
  <c r="O20"/>
  <c r="O21" s="1"/>
  <c r="O22" s="1"/>
  <c r="T18"/>
  <c r="S20"/>
  <c r="S21" s="1"/>
  <c r="S22" s="1"/>
</calcChain>
</file>

<file path=xl/comments1.xml><?xml version="1.0" encoding="utf-8"?>
<comments xmlns="http://schemas.openxmlformats.org/spreadsheetml/2006/main">
  <authors>
    <author>B0874723</author>
  </authors>
  <commentList>
    <comment ref="F5" authorId="0">
      <text>
        <r>
          <rPr>
            <b/>
            <sz val="9"/>
            <color indexed="81"/>
            <rFont val="Tahoma"/>
            <family val="2"/>
          </rPr>
          <t>B0874723:</t>
        </r>
        <r>
          <rPr>
            <sz val="9"/>
            <color indexed="81"/>
            <rFont val="Tahoma"/>
            <family val="2"/>
          </rPr>
          <t xml:space="preserve">
Cuando el alquiler sea un porcentaje sobre la venta neta, meter aquí porcentaje</t>
        </r>
      </text>
    </comment>
  </commentList>
</comments>
</file>

<file path=xl/sharedStrings.xml><?xml version="1.0" encoding="utf-8"?>
<sst xmlns="http://schemas.openxmlformats.org/spreadsheetml/2006/main" count="40" uniqueCount="39">
  <si>
    <t>Año 1</t>
  </si>
  <si>
    <t>Año 2</t>
  </si>
  <si>
    <t>Año 3</t>
  </si>
  <si>
    <t>Año 4</t>
  </si>
  <si>
    <t>Año 5</t>
  </si>
  <si>
    <t>Año 6</t>
  </si>
  <si>
    <t>Año 7</t>
  </si>
  <si>
    <t>Año 8</t>
  </si>
  <si>
    <t>Año 9</t>
  </si>
  <si>
    <t>Año 10</t>
  </si>
  <si>
    <t>Año 11</t>
  </si>
  <si>
    <t>Año 12</t>
  </si>
  <si>
    <t>Año 13</t>
  </si>
  <si>
    <t>Año 14</t>
  </si>
  <si>
    <t>Año 15</t>
  </si>
  <si>
    <t>Año 16</t>
  </si>
  <si>
    <t>Año 17</t>
  </si>
  <si>
    <t>Año 18</t>
  </si>
  <si>
    <t>Año 19</t>
  </si>
  <si>
    <t>Año 20</t>
  </si>
  <si>
    <t>Cvb</t>
  </si>
  <si>
    <t>IPC</t>
  </si>
  <si>
    <t>Renta Mes</t>
  </si>
  <si>
    <t>%</t>
  </si>
  <si>
    <t>% S/Vta Neta</t>
  </si>
  <si>
    <t>Apertura domingos</t>
  </si>
  <si>
    <t>Vta media diaria</t>
  </si>
  <si>
    <t>Sí</t>
  </si>
  <si>
    <t>No</t>
  </si>
  <si>
    <t>Vta M dia VS Renta diaria</t>
  </si>
  <si>
    <t>&lt; 50% Optimo</t>
  </si>
  <si>
    <t>Valoración renta</t>
  </si>
  <si>
    <t>80%&lt; Viable &gt;  50%</t>
  </si>
  <si>
    <t>&gt; 80% Riesgo</t>
  </si>
  <si>
    <t>Tasa Crecimiento Extra</t>
  </si>
  <si>
    <t>Renta Anual</t>
  </si>
  <si>
    <t>Renta Mensual</t>
  </si>
  <si>
    <t>CVB</t>
  </si>
  <si>
    <t>CVN</t>
  </si>
</sst>
</file>

<file path=xl/styles.xml><?xml version="1.0" encoding="utf-8"?>
<styleSheet xmlns="http://schemas.openxmlformats.org/spreadsheetml/2006/main">
  <numFmts count="2">
    <numFmt numFmtId="44" formatCode="_-* #,##0.00\ &quot;€&quot;_-;\-* #,##0.00\ &quot;€&quot;_-;_-* &quot;-&quot;??\ &quot;€&quot;_-;_-@_-"/>
    <numFmt numFmtId="165" formatCode="_-* #,##0\ &quot;€&quot;_-;\-* #,##0\ &quot;€&quot;_-;_-* &quot;-&quot;??\ &quot;€&quot;_-;_-@_-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9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10" fontId="0" fillId="0" borderId="0" xfId="0" applyNumberFormat="1"/>
    <xf numFmtId="0" fontId="0" fillId="0" borderId="1" xfId="0" applyFill="1" applyBorder="1"/>
    <xf numFmtId="0" fontId="0" fillId="0" borderId="0" xfId="0" applyBorder="1"/>
    <xf numFmtId="0" fontId="5" fillId="2" borderId="4" xfId="0" applyNumberFormat="1" applyFont="1" applyFill="1" applyBorder="1" applyAlignment="1">
      <alignment horizontal="left" vertical="center"/>
    </xf>
    <xf numFmtId="0" fontId="6" fillId="2" borderId="6" xfId="0" applyNumberFormat="1" applyFont="1" applyFill="1" applyBorder="1"/>
    <xf numFmtId="0" fontId="5" fillId="2" borderId="10" xfId="0" applyNumberFormat="1" applyFont="1" applyFill="1" applyBorder="1" applyAlignment="1">
      <alignment horizontal="left" vertical="center"/>
    </xf>
    <xf numFmtId="0" fontId="6" fillId="2" borderId="11" xfId="0" applyNumberFormat="1" applyFont="1" applyFill="1" applyBorder="1"/>
    <xf numFmtId="0" fontId="5" fillId="2" borderId="7" xfId="0" applyNumberFormat="1" applyFont="1" applyFill="1" applyBorder="1" applyAlignment="1">
      <alignment horizontal="left" vertical="center"/>
    </xf>
    <xf numFmtId="0" fontId="6" fillId="2" borderId="9" xfId="0" applyNumberFormat="1" applyFont="1" applyFill="1" applyBorder="1"/>
    <xf numFmtId="0" fontId="2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0" fontId="2" fillId="5" borderId="1" xfId="0" applyFont="1" applyFill="1" applyBorder="1"/>
    <xf numFmtId="0" fontId="0" fillId="6" borderId="4" xfId="0" applyFill="1" applyBorder="1"/>
    <xf numFmtId="165" fontId="0" fillId="6" borderId="5" xfId="1" applyNumberFormat="1" applyFont="1" applyFill="1" applyBorder="1" applyAlignment="1">
      <alignment horizontal="center"/>
    </xf>
    <xf numFmtId="165" fontId="0" fillId="6" borderId="6" xfId="1" applyNumberFormat="1" applyFont="1" applyFill="1" applyBorder="1" applyAlignment="1">
      <alignment horizontal="center"/>
    </xf>
    <xf numFmtId="0" fontId="0" fillId="6" borderId="7" xfId="0" applyFill="1" applyBorder="1"/>
    <xf numFmtId="0" fontId="0" fillId="6" borderId="10" xfId="0" applyFill="1" applyBorder="1"/>
    <xf numFmtId="165" fontId="0" fillId="6" borderId="0" xfId="1" applyNumberFormat="1" applyFont="1" applyFill="1" applyBorder="1" applyAlignment="1">
      <alignment horizontal="center"/>
    </xf>
    <xf numFmtId="165" fontId="0" fillId="6" borderId="11" xfId="1" applyNumberFormat="1" applyFont="1" applyFill="1" applyBorder="1" applyAlignment="1">
      <alignment horizontal="center"/>
    </xf>
    <xf numFmtId="165" fontId="0" fillId="3" borderId="3" xfId="1" applyNumberFormat="1" applyFont="1" applyFill="1" applyBorder="1" applyProtection="1">
      <protection locked="0"/>
    </xf>
    <xf numFmtId="165" fontId="0" fillId="3" borderId="2" xfId="1" applyNumberFormat="1" applyFont="1" applyFill="1" applyBorder="1" applyProtection="1">
      <protection locked="0"/>
    </xf>
    <xf numFmtId="10" fontId="0" fillId="3" borderId="3" xfId="2" applyNumberFormat="1" applyFont="1" applyFill="1" applyBorder="1" applyProtection="1">
      <protection locked="0"/>
    </xf>
    <xf numFmtId="0" fontId="0" fillId="3" borderId="3" xfId="0" applyFill="1" applyBorder="1" applyAlignment="1" applyProtection="1">
      <alignment horizontal="center"/>
      <protection locked="0"/>
    </xf>
    <xf numFmtId="10" fontId="2" fillId="3" borderId="12" xfId="0" applyNumberFormat="1" applyFont="1" applyFill="1" applyBorder="1" applyProtection="1">
      <protection locked="0"/>
    </xf>
    <xf numFmtId="9" fontId="0" fillId="3" borderId="1" xfId="2" applyFont="1" applyFill="1" applyBorder="1" applyAlignment="1" applyProtection="1">
      <alignment horizontal="center"/>
      <protection locked="0"/>
    </xf>
    <xf numFmtId="9" fontId="0" fillId="3" borderId="2" xfId="2" applyFont="1" applyFill="1" applyBorder="1" applyAlignment="1" applyProtection="1">
      <alignment horizontal="center"/>
      <protection locked="0"/>
    </xf>
    <xf numFmtId="9" fontId="0" fillId="3" borderId="3" xfId="2" applyFont="1" applyFill="1" applyBorder="1" applyAlignment="1" applyProtection="1">
      <alignment horizontal="center"/>
      <protection locked="0"/>
    </xf>
    <xf numFmtId="165" fontId="0" fillId="6" borderId="5" xfId="1" applyNumberFormat="1" applyFont="1" applyFill="1" applyBorder="1" applyAlignment="1">
      <alignment horizontal="center" vertical="center"/>
    </xf>
    <xf numFmtId="165" fontId="0" fillId="6" borderId="0" xfId="1" applyNumberFormat="1" applyFont="1" applyFill="1" applyBorder="1" applyAlignment="1">
      <alignment vertical="center"/>
    </xf>
    <xf numFmtId="10" fontId="0" fillId="6" borderId="8" xfId="2" applyNumberFormat="1" applyFont="1" applyFill="1" applyBorder="1" applyAlignment="1">
      <alignment vertical="center"/>
    </xf>
    <xf numFmtId="10" fontId="0" fillId="6" borderId="8" xfId="2" applyNumberFormat="1" applyFont="1" applyFill="1" applyBorder="1" applyAlignment="1"/>
    <xf numFmtId="10" fontId="0" fillId="6" borderId="9" xfId="2" applyNumberFormat="1" applyFont="1" applyFill="1" applyBorder="1" applyAlignment="1"/>
    <xf numFmtId="9" fontId="0" fillId="0" borderId="0" xfId="2" applyFont="1" applyAlignment="1">
      <alignment horizontal="right"/>
    </xf>
    <xf numFmtId="10" fontId="7" fillId="5" borderId="2" xfId="0" applyNumberFormat="1" applyFont="1" applyFill="1" applyBorder="1" applyAlignment="1">
      <alignment horizontal="right" vertical="center" wrapText="1"/>
    </xf>
    <xf numFmtId="10" fontId="7" fillId="5" borderId="3" xfId="0" applyNumberFormat="1" applyFont="1" applyFill="1" applyBorder="1" applyAlignment="1">
      <alignment horizontal="right" vertical="center" wrapText="1"/>
    </xf>
  </cellXfs>
  <cellStyles count="3">
    <cellStyle name="Moneda" xfId="1" builtinId="4"/>
    <cellStyle name="Normal" xfId="0" builtinId="0"/>
    <cellStyle name="Porcentual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W23"/>
  <sheetViews>
    <sheetView showGridLines="0" tabSelected="1" workbookViewId="0">
      <selection activeCell="E7" sqref="E7"/>
    </sheetView>
  </sheetViews>
  <sheetFormatPr baseColWidth="10" defaultRowHeight="15"/>
  <cols>
    <col min="1" max="1" width="5.85546875" customWidth="1"/>
    <col min="2" max="2" width="0" hidden="1" customWidth="1"/>
    <col min="3" max="3" width="23.28515625" bestFit="1" customWidth="1"/>
    <col min="4" max="4" width="18.140625" bestFit="1" customWidth="1"/>
    <col min="5" max="5" width="14.5703125" bestFit="1" customWidth="1"/>
    <col min="6" max="6" width="13" bestFit="1" customWidth="1"/>
    <col min="7" max="23" width="12" bestFit="1" customWidth="1"/>
  </cols>
  <sheetData>
    <row r="3" spans="2:23" ht="15.75" thickBot="1"/>
    <row r="4" spans="2:23" ht="15.75" thickBot="1">
      <c r="D4" s="1" t="s">
        <v>20</v>
      </c>
      <c r="E4" s="28">
        <v>1500000</v>
      </c>
      <c r="F4" s="12" t="s">
        <v>23</v>
      </c>
      <c r="J4" s="6" t="s">
        <v>33</v>
      </c>
      <c r="K4" s="7"/>
    </row>
    <row r="5" spans="2:23" ht="15.75" thickBot="1">
      <c r="D5" s="1" t="s">
        <v>22</v>
      </c>
      <c r="E5" s="29">
        <v>2500</v>
      </c>
      <c r="F5" s="32"/>
      <c r="J5" s="8" t="s">
        <v>32</v>
      </c>
      <c r="K5" s="9"/>
    </row>
    <row r="6" spans="2:23" ht="15.75" thickBot="1">
      <c r="D6" s="1" t="s">
        <v>21</v>
      </c>
      <c r="E6" s="30">
        <v>3.5000000000000003E-2</v>
      </c>
      <c r="J6" s="10" t="s">
        <v>30</v>
      </c>
      <c r="K6" s="11"/>
    </row>
    <row r="7" spans="2:23" ht="15.75" thickBot="1">
      <c r="B7" t="s">
        <v>27</v>
      </c>
      <c r="D7" s="4" t="s">
        <v>25</v>
      </c>
      <c r="E7" s="31" t="s">
        <v>27</v>
      </c>
    </row>
    <row r="8" spans="2:23">
      <c r="B8" t="s">
        <v>28</v>
      </c>
    </row>
    <row r="9" spans="2:23" ht="15.75" thickBot="1"/>
    <row r="10" spans="2:23" ht="15.75" thickBot="1">
      <c r="D10" s="16" t="s">
        <v>34</v>
      </c>
      <c r="E10" s="33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5">
        <v>0</v>
      </c>
    </row>
    <row r="11" spans="2:23" hidden="1">
      <c r="E11" s="3">
        <v>4.7E-2</v>
      </c>
      <c r="F11" s="3">
        <v>3.5000000000000003E-2</v>
      </c>
      <c r="G11" s="3">
        <v>3.5000000000000003E-2</v>
      </c>
      <c r="H11" s="3">
        <v>1.9E-2</v>
      </c>
      <c r="I11" s="3">
        <v>1.9E-2</v>
      </c>
      <c r="J11" s="3">
        <v>1.9E-2</v>
      </c>
      <c r="K11" s="3">
        <v>1.9E-2</v>
      </c>
      <c r="L11" s="3">
        <v>1.9E-2</v>
      </c>
      <c r="M11" s="3">
        <v>1.9E-2</v>
      </c>
      <c r="N11" s="3">
        <v>1.9E-2</v>
      </c>
      <c r="O11" s="3">
        <v>1.9E-2</v>
      </c>
      <c r="P11" s="3">
        <v>1.9E-2</v>
      </c>
      <c r="Q11" s="3">
        <v>1.9E-2</v>
      </c>
      <c r="R11" s="3">
        <v>1.9E-2</v>
      </c>
      <c r="S11" s="3">
        <v>1.9E-2</v>
      </c>
      <c r="T11" s="3">
        <v>1.9E-2</v>
      </c>
      <c r="U11" s="3">
        <v>1.9E-2</v>
      </c>
      <c r="V11" s="3">
        <v>1.9E-2</v>
      </c>
      <c r="W11" s="3">
        <v>1.9E-2</v>
      </c>
    </row>
    <row r="12" spans="2:23" ht="15.75" thickBot="1"/>
    <row r="13" spans="2:23" ht="15.75" thickBot="1">
      <c r="D13" s="13" t="s">
        <v>0</v>
      </c>
      <c r="E13" s="14" t="s">
        <v>1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9</v>
      </c>
      <c r="N13" s="14" t="s">
        <v>10</v>
      </c>
      <c r="O13" s="14" t="s">
        <v>11</v>
      </c>
      <c r="P13" s="14" t="s">
        <v>12</v>
      </c>
      <c r="Q13" s="14" t="s">
        <v>13</v>
      </c>
      <c r="R13" s="14" t="s">
        <v>14</v>
      </c>
      <c r="S13" s="14" t="s">
        <v>15</v>
      </c>
      <c r="T13" s="14" t="s">
        <v>16</v>
      </c>
      <c r="U13" s="14" t="s">
        <v>17</v>
      </c>
      <c r="V13" s="14" t="s">
        <v>18</v>
      </c>
      <c r="W13" s="15" t="s">
        <v>19</v>
      </c>
    </row>
    <row r="14" spans="2:23">
      <c r="C14" t="s">
        <v>37</v>
      </c>
      <c r="D14" s="17">
        <f>E4</f>
        <v>1500000</v>
      </c>
      <c r="E14" s="17">
        <f>D14*(1+E11)</f>
        <v>1570500</v>
      </c>
      <c r="F14" s="17">
        <f>E14*(1+F11)</f>
        <v>1625467.4999999998</v>
      </c>
      <c r="G14" s="17">
        <f t="shared" ref="G14:W14" si="0">F14*(1+G11)</f>
        <v>1682358.8624999996</v>
      </c>
      <c r="H14" s="17">
        <f t="shared" si="0"/>
        <v>1714323.6808874994</v>
      </c>
      <c r="I14" s="17">
        <f t="shared" si="0"/>
        <v>1746895.8308243616</v>
      </c>
      <c r="J14" s="17">
        <f t="shared" si="0"/>
        <v>1780086.8516100245</v>
      </c>
      <c r="K14" s="17">
        <f t="shared" si="0"/>
        <v>1813908.5017906148</v>
      </c>
      <c r="L14" s="17">
        <f t="shared" si="0"/>
        <v>1848372.7633246363</v>
      </c>
      <c r="M14" s="17">
        <f t="shared" si="0"/>
        <v>1883491.8458278042</v>
      </c>
      <c r="N14" s="17">
        <f t="shared" si="0"/>
        <v>1919278.1908985323</v>
      </c>
      <c r="O14" s="17">
        <f t="shared" si="0"/>
        <v>1955744.4765256043</v>
      </c>
      <c r="P14" s="17">
        <f t="shared" si="0"/>
        <v>1992903.6215795905</v>
      </c>
      <c r="Q14" s="17">
        <f t="shared" si="0"/>
        <v>2030768.7903896025</v>
      </c>
      <c r="R14" s="17">
        <f t="shared" si="0"/>
        <v>2069353.3974070048</v>
      </c>
      <c r="S14" s="17">
        <f t="shared" si="0"/>
        <v>2108671.1119577377</v>
      </c>
      <c r="T14" s="17">
        <f t="shared" si="0"/>
        <v>2148735.8630849347</v>
      </c>
      <c r="U14" s="17">
        <f t="shared" si="0"/>
        <v>2189561.8444835483</v>
      </c>
      <c r="V14" s="17">
        <f t="shared" si="0"/>
        <v>2231163.5195287354</v>
      </c>
      <c r="W14" s="17">
        <f t="shared" si="0"/>
        <v>2273555.6263997811</v>
      </c>
    </row>
    <row r="15" spans="2:23" ht="15.75" thickBot="1">
      <c r="C15" t="s">
        <v>38</v>
      </c>
      <c r="D15" s="18">
        <f>D14/(1.104)</f>
        <v>1358695.6521739129</v>
      </c>
      <c r="E15" s="18">
        <f t="shared" ref="E15:W15" si="1">E14/(1.104)</f>
        <v>1422554.3478260869</v>
      </c>
      <c r="F15" s="18">
        <f t="shared" si="1"/>
        <v>1472343.7499999998</v>
      </c>
      <c r="G15" s="18">
        <f t="shared" si="1"/>
        <v>1523875.7812499995</v>
      </c>
      <c r="H15" s="18">
        <f t="shared" si="1"/>
        <v>1552829.4210937493</v>
      </c>
      <c r="I15" s="18">
        <f t="shared" si="1"/>
        <v>1582333.1800945303</v>
      </c>
      <c r="J15" s="18">
        <f t="shared" si="1"/>
        <v>1612397.5105163264</v>
      </c>
      <c r="K15" s="18">
        <f t="shared" si="1"/>
        <v>1643033.0632161365</v>
      </c>
      <c r="L15" s="18">
        <f t="shared" si="1"/>
        <v>1674250.6914172429</v>
      </c>
      <c r="M15" s="18">
        <f t="shared" si="1"/>
        <v>1706061.4545541704</v>
      </c>
      <c r="N15" s="18">
        <f t="shared" si="1"/>
        <v>1738476.6221906994</v>
      </c>
      <c r="O15" s="18">
        <f t="shared" si="1"/>
        <v>1771507.6780123226</v>
      </c>
      <c r="P15" s="18">
        <f t="shared" si="1"/>
        <v>1805166.3238945564</v>
      </c>
      <c r="Q15" s="18">
        <f t="shared" si="1"/>
        <v>1839464.4840485528</v>
      </c>
      <c r="R15" s="18">
        <f t="shared" si="1"/>
        <v>1874414.3092454753</v>
      </c>
      <c r="S15" s="18">
        <f t="shared" si="1"/>
        <v>1910028.1811211391</v>
      </c>
      <c r="T15" s="18">
        <f t="shared" si="1"/>
        <v>1946318.7165624406</v>
      </c>
      <c r="U15" s="18">
        <f t="shared" si="1"/>
        <v>1983298.772177127</v>
      </c>
      <c r="V15" s="18">
        <f t="shared" si="1"/>
        <v>2020981.448848492</v>
      </c>
      <c r="W15" s="18">
        <f t="shared" si="1"/>
        <v>2059380.0963766132</v>
      </c>
    </row>
    <row r="16" spans="2:23">
      <c r="C16" s="21" t="s">
        <v>35</v>
      </c>
      <c r="D16" s="36">
        <f>IF($E$5&lt;=0,$F$5*D15,($E$5*12))</f>
        <v>30000</v>
      </c>
      <c r="E16" s="22">
        <f>IF($E$5&lt;=0,$F$5*E15,(D16)*(1+$E$6)*(1+E10))</f>
        <v>31049.999999999996</v>
      </c>
      <c r="F16" s="22">
        <f t="shared" ref="F16:W16" si="2">IF($E$5&lt;=0,$F$5*F15,(E16)*(1+$E$6)*(1+F10))</f>
        <v>32136.749999999993</v>
      </c>
      <c r="G16" s="22">
        <f t="shared" si="2"/>
        <v>33261.53624999999</v>
      </c>
      <c r="H16" s="22">
        <f t="shared" si="2"/>
        <v>34425.690018749985</v>
      </c>
      <c r="I16" s="22">
        <f t="shared" si="2"/>
        <v>35630.58916940623</v>
      </c>
      <c r="J16" s="22">
        <f t="shared" si="2"/>
        <v>36877.659790335449</v>
      </c>
      <c r="K16" s="22">
        <f t="shared" si="2"/>
        <v>38168.377882997185</v>
      </c>
      <c r="L16" s="22">
        <f t="shared" si="2"/>
        <v>39504.271108902081</v>
      </c>
      <c r="M16" s="22">
        <f t="shared" si="2"/>
        <v>40886.920597713652</v>
      </c>
      <c r="N16" s="22">
        <f t="shared" si="2"/>
        <v>42317.962818633627</v>
      </c>
      <c r="O16" s="22">
        <f t="shared" si="2"/>
        <v>43799.0915172858</v>
      </c>
      <c r="P16" s="22">
        <f t="shared" si="2"/>
        <v>45332.059720390796</v>
      </c>
      <c r="Q16" s="22">
        <f t="shared" si="2"/>
        <v>46918.681810604474</v>
      </c>
      <c r="R16" s="22">
        <f t="shared" si="2"/>
        <v>48560.835673975627</v>
      </c>
      <c r="S16" s="22">
        <f t="shared" si="2"/>
        <v>50260.464922564774</v>
      </c>
      <c r="T16" s="22">
        <f t="shared" si="2"/>
        <v>52019.581194854538</v>
      </c>
      <c r="U16" s="22">
        <f t="shared" si="2"/>
        <v>53840.26653667444</v>
      </c>
      <c r="V16" s="22">
        <f t="shared" si="2"/>
        <v>55724.675865458041</v>
      </c>
      <c r="W16" s="23">
        <f t="shared" si="2"/>
        <v>57675.039520749066</v>
      </c>
    </row>
    <row r="17" spans="3:23">
      <c r="C17" s="25" t="s">
        <v>36</v>
      </c>
      <c r="D17" s="37">
        <f>D16/12</f>
        <v>2500</v>
      </c>
      <c r="E17" s="26">
        <f t="shared" ref="E17:W17" si="3">E16/12</f>
        <v>2587.4999999999995</v>
      </c>
      <c r="F17" s="26">
        <f t="shared" si="3"/>
        <v>2678.0624999999995</v>
      </c>
      <c r="G17" s="26">
        <f t="shared" si="3"/>
        <v>2771.7946874999993</v>
      </c>
      <c r="H17" s="26">
        <f t="shared" si="3"/>
        <v>2868.8075015624986</v>
      </c>
      <c r="I17" s="26">
        <f t="shared" si="3"/>
        <v>2969.2157641171857</v>
      </c>
      <c r="J17" s="26">
        <f t="shared" si="3"/>
        <v>3073.1383158612875</v>
      </c>
      <c r="K17" s="26">
        <f t="shared" si="3"/>
        <v>3180.6981569164323</v>
      </c>
      <c r="L17" s="26">
        <f t="shared" si="3"/>
        <v>3292.0225924085066</v>
      </c>
      <c r="M17" s="26">
        <f t="shared" si="3"/>
        <v>3407.2433831428043</v>
      </c>
      <c r="N17" s="26">
        <f t="shared" si="3"/>
        <v>3526.4969015528022</v>
      </c>
      <c r="O17" s="26">
        <f t="shared" si="3"/>
        <v>3649.9242931071499</v>
      </c>
      <c r="P17" s="26">
        <f t="shared" si="3"/>
        <v>3777.6716433658999</v>
      </c>
      <c r="Q17" s="26">
        <f t="shared" si="3"/>
        <v>3909.8901508837062</v>
      </c>
      <c r="R17" s="26">
        <f t="shared" si="3"/>
        <v>4046.7363061646356</v>
      </c>
      <c r="S17" s="26">
        <f t="shared" si="3"/>
        <v>4188.3720768803978</v>
      </c>
      <c r="T17" s="26">
        <f t="shared" si="3"/>
        <v>4334.9650995712118</v>
      </c>
      <c r="U17" s="26">
        <f t="shared" si="3"/>
        <v>4486.6888780562031</v>
      </c>
      <c r="V17" s="26">
        <f t="shared" si="3"/>
        <v>4643.7229887881704</v>
      </c>
      <c r="W17" s="27">
        <f t="shared" si="3"/>
        <v>4806.2532933957555</v>
      </c>
    </row>
    <row r="18" spans="3:23" ht="15.75" thickBot="1">
      <c r="C18" s="24" t="s">
        <v>24</v>
      </c>
      <c r="D18" s="38">
        <f>D16/D15</f>
        <v>2.2080000000000002E-2</v>
      </c>
      <c r="E18" s="39">
        <f t="shared" ref="E18:W18" si="4">E16/E15</f>
        <v>2.1826934097421202E-2</v>
      </c>
      <c r="F18" s="39">
        <f t="shared" si="4"/>
        <v>2.1826934097421202E-2</v>
      </c>
      <c r="G18" s="39">
        <f t="shared" si="4"/>
        <v>2.1826934097421202E-2</v>
      </c>
      <c r="H18" s="39">
        <f t="shared" si="4"/>
        <v>2.2169653376674137E-2</v>
      </c>
      <c r="I18" s="39">
        <f t="shared" si="4"/>
        <v>2.2517753920370687E-2</v>
      </c>
      <c r="J18" s="39">
        <f t="shared" si="4"/>
        <v>2.2871320223340201E-2</v>
      </c>
      <c r="K18" s="39">
        <f t="shared" si="4"/>
        <v>2.323043810712179E-2</v>
      </c>
      <c r="L18" s="39">
        <f t="shared" si="4"/>
        <v>2.3595194740795931E-2</v>
      </c>
      <c r="M18" s="39">
        <f t="shared" si="4"/>
        <v>2.396567866214307E-2</v>
      </c>
      <c r="N18" s="39">
        <f t="shared" si="4"/>
        <v>2.4341979799134522E-2</v>
      </c>
      <c r="O18" s="39">
        <f t="shared" si="4"/>
        <v>2.4724189491760775E-2</v>
      </c>
      <c r="P18" s="39">
        <f t="shared" si="4"/>
        <v>2.5112400514202556E-2</v>
      </c>
      <c r="Q18" s="39">
        <f t="shared" si="4"/>
        <v>2.5506707097349996E-2</v>
      </c>
      <c r="R18" s="39">
        <f t="shared" si="4"/>
        <v>2.5907204951675412E-2</v>
      </c>
      <c r="S18" s="39">
        <f t="shared" si="4"/>
        <v>2.6313991290465216E-2</v>
      </c>
      <c r="T18" s="39">
        <f t="shared" si="4"/>
        <v>2.6727164853416585E-2</v>
      </c>
      <c r="U18" s="39">
        <f t="shared" si="4"/>
        <v>2.7146825930604673E-2</v>
      </c>
      <c r="V18" s="39">
        <f t="shared" si="4"/>
        <v>2.7573076386826142E-2</v>
      </c>
      <c r="W18" s="40">
        <f t="shared" si="4"/>
        <v>2.8006019686324882E-2</v>
      </c>
    </row>
    <row r="19" spans="3:23">
      <c r="C19" s="5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</row>
    <row r="20" spans="3:23">
      <c r="C20" t="s">
        <v>26</v>
      </c>
      <c r="D20" s="17">
        <f>D15/IF($E$7="Sí",350,308)</f>
        <v>3881.9875776397512</v>
      </c>
      <c r="E20" s="17">
        <f>E15/IF($E$7="Sí",350,308)</f>
        <v>4064.4409937888199</v>
      </c>
      <c r="F20" s="17">
        <f t="shared" ref="F20:Q20" si="5">F15/IF($E$7="Sí",350,308)</f>
        <v>4206.6964285714275</v>
      </c>
      <c r="G20" s="17">
        <f t="shared" si="5"/>
        <v>4353.9308035714275</v>
      </c>
      <c r="H20" s="17">
        <f t="shared" si="5"/>
        <v>4436.6554888392839</v>
      </c>
      <c r="I20" s="17">
        <f t="shared" si="5"/>
        <v>4520.9519431272292</v>
      </c>
      <c r="J20" s="17">
        <f t="shared" si="5"/>
        <v>4606.8500300466467</v>
      </c>
      <c r="K20" s="17">
        <f t="shared" si="5"/>
        <v>4694.3801806175334</v>
      </c>
      <c r="L20" s="17">
        <f t="shared" si="5"/>
        <v>4783.5734040492653</v>
      </c>
      <c r="M20" s="17">
        <f t="shared" si="5"/>
        <v>4874.4612987262008</v>
      </c>
      <c r="N20" s="17">
        <f t="shared" si="5"/>
        <v>4967.076063401998</v>
      </c>
      <c r="O20" s="17">
        <f t="shared" si="5"/>
        <v>5061.4505086066365</v>
      </c>
      <c r="P20" s="17">
        <f t="shared" si="5"/>
        <v>5157.6180682701615</v>
      </c>
      <c r="Q20" s="17">
        <f t="shared" si="5"/>
        <v>5255.6128115672936</v>
      </c>
      <c r="R20" s="17">
        <f>R15/IF($E$7="Sí",350,308)</f>
        <v>5355.4694549870728</v>
      </c>
      <c r="S20" s="17">
        <f t="shared" ref="S20" si="6">S15/IF($E$7="Sí",350,308)</f>
        <v>5457.2233746318261</v>
      </c>
      <c r="T20" s="17">
        <f t="shared" ref="T20" si="7">T15/IF($E$7="Sí",350,308)</f>
        <v>5560.9106187498301</v>
      </c>
      <c r="U20" s="17">
        <f t="shared" ref="U20" si="8">U15/IF($E$7="Sí",350,308)</f>
        <v>5666.5679205060769</v>
      </c>
      <c r="V20" s="17">
        <f t="shared" ref="V20" si="9">V15/IF($E$7="Sí",350,308)</f>
        <v>5774.2327109956914</v>
      </c>
      <c r="W20" s="17">
        <f t="shared" ref="W20" si="10">W15/IF($E$7="Sí",350,308)</f>
        <v>5883.9431325046089</v>
      </c>
    </row>
    <row r="21" spans="3:23" ht="15.75" thickBot="1">
      <c r="C21" t="s">
        <v>29</v>
      </c>
      <c r="D21" s="41">
        <f>(D16/12)/D20</f>
        <v>0.64400000000000002</v>
      </c>
      <c r="E21" s="41">
        <f t="shared" ref="E21:W21" si="11">(E16/12)/E20</f>
        <v>0.63661891117478497</v>
      </c>
      <c r="F21" s="41">
        <f t="shared" si="11"/>
        <v>0.6366189111747852</v>
      </c>
      <c r="G21" s="41">
        <f t="shared" si="11"/>
        <v>0.63661891117478508</v>
      </c>
      <c r="H21" s="41">
        <f t="shared" si="11"/>
        <v>0.64661489015299567</v>
      </c>
      <c r="I21" s="41">
        <f t="shared" si="11"/>
        <v>0.65676782267747846</v>
      </c>
      <c r="J21" s="41">
        <f t="shared" si="11"/>
        <v>0.66708017318075585</v>
      </c>
      <c r="K21" s="41">
        <f t="shared" si="11"/>
        <v>0.6775544447910522</v>
      </c>
      <c r="L21" s="41">
        <f t="shared" si="11"/>
        <v>0.68819317993988127</v>
      </c>
      <c r="M21" s="41">
        <f t="shared" si="11"/>
        <v>0.69899896097917291</v>
      </c>
      <c r="N21" s="41">
        <f t="shared" si="11"/>
        <v>0.70997441080809032</v>
      </c>
      <c r="O21" s="41">
        <f t="shared" si="11"/>
        <v>0.7211221935096892</v>
      </c>
      <c r="P21" s="41">
        <f t="shared" si="11"/>
        <v>0.73244501499757453</v>
      </c>
      <c r="Q21" s="41">
        <f t="shared" si="11"/>
        <v>0.74394562367270833</v>
      </c>
      <c r="R21" s="41">
        <f t="shared" si="11"/>
        <v>0.75562681109053287</v>
      </c>
      <c r="S21" s="41">
        <f t="shared" si="11"/>
        <v>0.76749141263856879</v>
      </c>
      <c r="T21" s="41">
        <f t="shared" si="11"/>
        <v>0.77954230822465043</v>
      </c>
      <c r="U21" s="41">
        <f t="shared" si="11"/>
        <v>0.79178242297596957</v>
      </c>
      <c r="V21" s="41">
        <f t="shared" si="11"/>
        <v>0.80421472794909588</v>
      </c>
      <c r="W21" s="41">
        <f t="shared" si="11"/>
        <v>0.81684224085114243</v>
      </c>
    </row>
    <row r="22" spans="3:23" ht="15.75" thickBot="1">
      <c r="C22" s="20" t="s">
        <v>31</v>
      </c>
      <c r="D22" s="42" t="str">
        <f>IF(D21&gt;80%,"Riesgo",IF(D21&lt;50%,"Optimo","Viable"))</f>
        <v>Viable</v>
      </c>
      <c r="E22" s="42" t="str">
        <f t="shared" ref="E22:W22" si="12">IF(E21&gt;80%,"Riesgo",IF(E21&lt;50%,"Optimo","Viable"))</f>
        <v>Viable</v>
      </c>
      <c r="F22" s="42" t="str">
        <f t="shared" si="12"/>
        <v>Viable</v>
      </c>
      <c r="G22" s="42" t="str">
        <f t="shared" si="12"/>
        <v>Viable</v>
      </c>
      <c r="H22" s="42" t="str">
        <f t="shared" si="12"/>
        <v>Viable</v>
      </c>
      <c r="I22" s="42" t="str">
        <f t="shared" si="12"/>
        <v>Viable</v>
      </c>
      <c r="J22" s="42" t="str">
        <f t="shared" si="12"/>
        <v>Viable</v>
      </c>
      <c r="K22" s="42" t="str">
        <f t="shared" si="12"/>
        <v>Viable</v>
      </c>
      <c r="L22" s="42" t="str">
        <f t="shared" si="12"/>
        <v>Viable</v>
      </c>
      <c r="M22" s="42" t="str">
        <f t="shared" si="12"/>
        <v>Viable</v>
      </c>
      <c r="N22" s="42" t="str">
        <f t="shared" si="12"/>
        <v>Viable</v>
      </c>
      <c r="O22" s="42" t="str">
        <f t="shared" si="12"/>
        <v>Viable</v>
      </c>
      <c r="P22" s="42" t="str">
        <f t="shared" si="12"/>
        <v>Viable</v>
      </c>
      <c r="Q22" s="42" t="str">
        <f t="shared" si="12"/>
        <v>Viable</v>
      </c>
      <c r="R22" s="42" t="str">
        <f t="shared" si="12"/>
        <v>Viable</v>
      </c>
      <c r="S22" s="42" t="str">
        <f t="shared" si="12"/>
        <v>Viable</v>
      </c>
      <c r="T22" s="42" t="str">
        <f t="shared" si="12"/>
        <v>Viable</v>
      </c>
      <c r="U22" s="42" t="str">
        <f t="shared" si="12"/>
        <v>Viable</v>
      </c>
      <c r="V22" s="42" t="str">
        <f t="shared" si="12"/>
        <v>Riesgo</v>
      </c>
      <c r="W22" s="43" t="str">
        <f t="shared" si="12"/>
        <v>Riesgo</v>
      </c>
    </row>
    <row r="23" spans="3:23">
      <c r="H23" s="2"/>
    </row>
  </sheetData>
  <sheetProtection password="CC05" sheet="1" objects="1" scenarios="1" selectLockedCells="1"/>
  <dataValidations count="1">
    <dataValidation type="list" allowBlank="1" showInputMessage="1" showErrorMessage="1" sqref="E7">
      <formula1>$B$7:$B$8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Centros Comerciales Carrefour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B0874723</dc:creator>
  <cp:lastModifiedBy>B0874723</cp:lastModifiedBy>
  <dcterms:created xsi:type="dcterms:W3CDTF">2014-10-29T17:10:23Z</dcterms:created>
  <dcterms:modified xsi:type="dcterms:W3CDTF">2014-10-29T18:05:16Z</dcterms:modified>
</cp:coreProperties>
</file>